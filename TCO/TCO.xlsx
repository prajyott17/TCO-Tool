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virtualoffice-my.sharepoint.com/personal/prajyot_tamgadge_external_cp_com/Documents/Desktop/Project/TCO/"/>
    </mc:Choice>
  </mc:AlternateContent>
  <xr:revisionPtr revIDLastSave="100" documentId="13_ncr:1_{EB1BE942-C833-4A34-920C-7513F18B6D5B}" xr6:coauthVersionLast="47" xr6:coauthVersionMax="47" xr10:uidLastSave="{77A959AA-3166-4DBB-9F4C-E4B27D7EB0D6}"/>
  <bookViews>
    <workbookView xWindow="-104" yWindow="-104" windowWidth="22326" windowHeight="11947" xr2:uid="{A27E04BA-36EA-47EB-9AED-420BD78A9D87}"/>
  </bookViews>
  <sheets>
    <sheet name="TCO Calculation Inputs" sheetId="2" r:id="rId1"/>
    <sheet name="Sheet1" sheetId="1" state="hidden" r:id="rId2"/>
  </sheet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2" l="1"/>
  <c r="E29" i="2"/>
  <c r="E4" i="2"/>
  <c r="E5" i="2"/>
  <c r="E6" i="2"/>
  <c r="E3" i="2"/>
  <c r="E11" i="2"/>
  <c r="F11" i="2"/>
  <c r="F29" i="2"/>
  <c r="F36" i="2"/>
  <c r="E24" i="2"/>
  <c r="F22" i="2"/>
  <c r="F18" i="2" s="1"/>
  <c r="F26" i="2"/>
  <c r="F24" i="2"/>
  <c r="F25" i="2"/>
  <c r="F21" i="2"/>
  <c r="F12" i="2"/>
  <c r="F14" i="2"/>
  <c r="E18" i="2"/>
  <c r="E22" i="2"/>
  <c r="E12" i="2"/>
  <c r="G3" i="2"/>
  <c r="F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tc={12B775F3-46D5-4CA4-A6B1-3C4404ACDB24}</author>
    <author>tc={858FA874-7150-4B72-A599-D851D53BB198}</author>
    <author>tc={D6DB9C1B-4520-4572-84C4-593101B8156C}</author>
    <author>tc={C19DE04C-6DB7-4A80-9C8F-AEC538D9DB20}</author>
    <author>tc={17AFDDED-4DE0-49D7-B044-A6C34FD4F577}</author>
    <author>tc={A8803200-802C-487B-A4CD-5AAF7CD02856}</author>
    <author>tc={39FC8C2C-2B45-44A3-8F09-462702A636E8}</author>
    <author>tc={E901BFD7-E975-481A-9CD7-66CEE9F61550}</author>
  </authors>
  <commentList>
    <comment ref="E1" authorId="0" shapeId="0" xr:uid="{12B775F3-46D5-4CA4-A6B1-3C4404ACDB2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Machine Model Drill Down with Manual Entry
</t>
      </text>
    </comment>
    <comment ref="E9" authorId="1" shapeId="0" xr:uid="{858FA874-7150-4B72-A599-D851D53BB198}">
      <text>
        <t>[Threaded comment]
Your version of Excel allows you to read this threaded comment; however, any edits to it will get removed if the file is opened in a newer version of Excel. Learn more: https://go.microsoft.com/fwlink/?linkid=870924
Comment:
    Machine Purchase Price</t>
      </text>
    </comment>
    <comment ref="E12" authorId="2" shapeId="0" xr:uid="{D6DB9C1B-4520-4572-84C4-593101B8156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Fuel Cost=Fuel Cost/L x Consumption/Hr x Running Hours/Year x Total Year
</t>
      </text>
    </comment>
    <comment ref="E18" authorId="3" shapeId="0" xr:uid="{C19DE04C-6DB7-4A80-9C8F-AEC538D9DB20}">
      <text>
        <t>[Threaded comment]
Your version of Excel allows you to read this threaded comment; however, any edits to it will get removed if the file is opened in a newer version of Excel. Learn more: https://go.microsoft.com/fwlink/?linkid=870924
Comment:
    Maintenance Cost=Total Year x Per Year PM Cost</t>
      </text>
    </comment>
    <comment ref="D19" authorId="4" shapeId="0" xr:uid="{17AFDDED-4DE0-49D7-B044-A6C34FD4F57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Drill down Option for OEM and Non-Genuine
</t>
      </text>
    </comment>
    <comment ref="E19" authorId="5" shapeId="0" xr:uid="{A8803200-802C-487B-A4CD-5AAF7CD02856}">
      <text>
        <t>[Threaded comment]
Your version of Excel allows you to read this threaded comment; however, any edits to it will get removed if the file is opened in a newer version of Excel. Learn more: https://go.microsoft.com/fwlink/?linkid=870924
Comment:
    Maintenance Cost=Total Year x Per Year PM Cost</t>
      </text>
    </comment>
    <comment ref="D24" authorId="6" shapeId="0" xr:uid="{39FC8C2C-2B45-44A3-8F09-462702A636E8}">
      <text>
        <t>[Threaded comment]
Your version of Excel allows you to read this threaded comment; however, any edits to it will get removed if the file is opened in a newer version of Excel. Learn more: https://go.microsoft.com/fwlink/?linkid=870924
Comment:
    If they Select Genuine Parts and Year is below 5 years or Running Hours/year is below 1500 this column not Take Input. If they Select non Genuine it can take Input. 
Reply:
    Also for the above Genuine it can take above 5 year to input parameters</t>
      </text>
    </comment>
    <comment ref="E29" authorId="7" shapeId="0" xr:uid="{E901BFD7-E975-481A-9CD7-66CEE9F61550}">
      <text>
        <t>[Threaded comment]
Your version of Excel allows you to read this threaded comment; however, any edits to it will get removed if the file is opened in a newer version of Excel. Learn more: https://go.microsoft.com/fwlink/?linkid=870924
Comment:
    =Per Hour income*down time per year*Total Year</t>
      </text>
    </comment>
  </commentList>
</comments>
</file>

<file path=xl/sharedStrings.xml><?xml version="1.0" encoding="utf-8"?>
<sst xmlns="http://schemas.openxmlformats.org/spreadsheetml/2006/main" count="73" uniqueCount="62">
  <si>
    <t>Parameter</t>
  </si>
  <si>
    <t>Value</t>
  </si>
  <si>
    <t>Fuel Consumption (L/hr)</t>
  </si>
  <si>
    <t>Operating Hours/Year</t>
  </si>
  <si>
    <t>Lifetime (years)</t>
  </si>
  <si>
    <t xml:space="preserve">Purchase Cost </t>
  </si>
  <si>
    <t xml:space="preserve">Diesel Price </t>
  </si>
  <si>
    <t>Annual PM Cost</t>
  </si>
  <si>
    <t xml:space="preserve">Overhaul Cost </t>
  </si>
  <si>
    <t xml:space="preserve">Overhaul Interval </t>
  </si>
  <si>
    <t>Consumable Cost/Year</t>
  </si>
  <si>
    <t xml:space="preserve">Downtime Cost/Year </t>
  </si>
  <si>
    <t>As per the data Sheet</t>
  </si>
  <si>
    <t>After Warranty Period 3000</t>
  </si>
  <si>
    <t>As a Manual Input</t>
  </si>
  <si>
    <t>As A Manual Input</t>
  </si>
  <si>
    <t>Installation/Commissioning /Service Charge</t>
  </si>
  <si>
    <t>TCO</t>
  </si>
  <si>
    <t>Capital Expenditure+Operational Expenditure</t>
  </si>
  <si>
    <t>Machine Purchase Cost</t>
  </si>
  <si>
    <t>CAPEX</t>
  </si>
  <si>
    <t>OPEX</t>
  </si>
  <si>
    <t>Fuel Cost+Maintenance Cost+Service Cost+Breakdown Cost+</t>
  </si>
  <si>
    <t>Initial Cost</t>
  </si>
  <si>
    <t>Fuel Saving</t>
  </si>
  <si>
    <t>Breakdown Saving</t>
  </si>
  <si>
    <t>Machine 1</t>
  </si>
  <si>
    <t>Machine 2</t>
  </si>
  <si>
    <t>Machine 3</t>
  </si>
  <si>
    <t>Inputs</t>
  </si>
  <si>
    <t>Operational Cost</t>
  </si>
  <si>
    <t>Fuel Cost</t>
  </si>
  <si>
    <t>Total Years</t>
  </si>
  <si>
    <t>Running Hours/year</t>
  </si>
  <si>
    <t>Fuel Cost/L</t>
  </si>
  <si>
    <t>Fuel Consumption/Hr</t>
  </si>
  <si>
    <t>Maintenance Cost</t>
  </si>
  <si>
    <t>PM Kits and Luricant</t>
  </si>
  <si>
    <t>If Genunine Cost Per Year</t>
  </si>
  <si>
    <t>2.1.1</t>
  </si>
  <si>
    <t>2.1.2</t>
  </si>
  <si>
    <t>If Non-Genunine Cost Per Year</t>
  </si>
  <si>
    <t>Total Year from 1.4</t>
  </si>
  <si>
    <t>Major O/H Cost</t>
  </si>
  <si>
    <t>3.1.1</t>
  </si>
  <si>
    <t>3.1.2</t>
  </si>
  <si>
    <t>Compressor O/H Cost</t>
  </si>
  <si>
    <t>Engine O/H Cost</t>
  </si>
  <si>
    <t>4.1.1</t>
  </si>
  <si>
    <t>Per Hour Income</t>
  </si>
  <si>
    <t>Down time per year</t>
  </si>
  <si>
    <t>capital cost+operational cost</t>
  </si>
  <si>
    <t>4.1.2</t>
  </si>
  <si>
    <t>4.1.3</t>
  </si>
  <si>
    <t>4.1.4</t>
  </si>
  <si>
    <t>Idle labor Cost</t>
  </si>
  <si>
    <t>Penalty Cost</t>
  </si>
  <si>
    <t xml:space="preserve">Breakdown Cost </t>
  </si>
  <si>
    <t>Breakdown Repair Cost(per event)</t>
  </si>
  <si>
    <t>Breakdowns per year</t>
  </si>
  <si>
    <t>Maintenance &amp; O/H Saving</t>
  </si>
  <si>
    <t>Total Downtime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</si>
</sst>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43" fontId="0" fillId="0" borderId="0" xfId="1" applyFont="1"/>
    <xf numFmtId="164" fontId="0" fillId="0" borderId="0" xfId="1" applyNumberFormat="1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43" fontId="0" fillId="0" borderId="0" xfId="0" applyNumberFormat="1"/>
    <xf numFmtId="0" fontId="0" fillId="3" borderId="0" xfId="0" applyFill="1" applyAlignment="1">
      <alignment horizontal="right"/>
    </xf>
    <xf numFmtId="0" fontId="0" fillId="3" borderId="0" xfId="0" applyFill="1"/>
    <xf numFmtId="164" fontId="0" fillId="3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 Vishvak Sundar" id="{7B94F5C8-A58A-4596-A3ED-DF142AF0D553}" userId="S::rvishvak.sundar@cp.com::373d5871-a166-444f-8313-b9e3649e198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4-01T07:48:08.75" personId="{7B94F5C8-A58A-4596-A3ED-DF142AF0D553}" id="{12B775F3-46D5-4CA4-A6B1-3C4404ACDB24}">
    <text xml:space="preserve">Machine Model Drill Down with Manual Entry
</text>
  </threadedComment>
  <threadedComment ref="E9" dT="2026-04-01T07:48:33.02" personId="{7B94F5C8-A58A-4596-A3ED-DF142AF0D553}" id="{858FA874-7150-4B72-A599-D851D53BB198}">
    <text>Machine Purchase Price</text>
  </threadedComment>
  <threadedComment ref="E12" dT="2026-04-01T07:52:05.72" personId="{7B94F5C8-A58A-4596-A3ED-DF142AF0D553}" id="{D6DB9C1B-4520-4572-84C4-593101B8156C}">
    <text xml:space="preserve">Fuel Cost=Fuel Cost/L x Consumption/Hr x Running Hours/Year x Total Year
</text>
  </threadedComment>
  <threadedComment ref="E18" dT="2026-04-01T07:56:07.91" personId="{7B94F5C8-A58A-4596-A3ED-DF142AF0D553}" id="{C19DE04C-6DB7-4A80-9C8F-AEC538D9DB20}">
    <text>Maintenance Cost=Total Year x Per Year PM Cost</text>
  </threadedComment>
  <threadedComment ref="D19" dT="2026-04-01T07:53:40.08" personId="{7B94F5C8-A58A-4596-A3ED-DF142AF0D553}" id="{17AFDDED-4DE0-49D7-B044-A6C34FD4F577}">
    <text xml:space="preserve">Drill down Option for OEM and Non-Genuine
</text>
  </threadedComment>
  <threadedComment ref="E19" dT="2026-04-01T07:56:07.91" personId="{7B94F5C8-A58A-4596-A3ED-DF142AF0D553}" id="{A8803200-802C-487B-A4CD-5AAF7CD02856}">
    <text>Maintenance Cost=Total Year x Per Year PM Cost</text>
  </threadedComment>
  <threadedComment ref="D24" dT="2026-04-01T07:59:29.37" personId="{7B94F5C8-A58A-4596-A3ED-DF142AF0D553}" id="{39FC8C2C-2B45-44A3-8F09-462702A636E8}">
    <text xml:space="preserve">If they Select Genuine Parts and Year is below 5 years or Running Hours/year is below 1500 this column not Take Input. If they Select non Genuine it can take Input. </text>
  </threadedComment>
  <threadedComment ref="D24" dT="2026-04-01T08:00:02.82" personId="{7B94F5C8-A58A-4596-A3ED-DF142AF0D553}" id="{A32E9690-3604-4B3D-B358-5D2A878E5C95}" parentId="{39FC8C2C-2B45-44A3-8F09-462702A636E8}">
    <text>Also for the above Genuine it can take above 5 year to input parameters</text>
  </threadedComment>
  <threadedComment ref="E29" dT="2026-04-01T08:03:07.41" personId="{7B94F5C8-A58A-4596-A3ED-DF142AF0D553}" id="{E901BFD7-E975-481A-9CD7-66CEE9F61550}">
    <text>=Per Hour income*down time per year*Total Year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86DF3-4272-49B0-B806-9F5241BAD2EA}">
  <dimension ref="C1:K39"/>
  <sheetViews>
    <sheetView tabSelected="1" topLeftCell="A10" zoomScale="79" zoomScaleNormal="79" workbookViewId="0">
      <selection activeCell="E37" sqref="E37"/>
    </sheetView>
  </sheetViews>
  <sheetFormatPr defaultRowHeight="14.4" x14ac:dyDescent="0.3"/>
  <cols>
    <col min="4" max="4" width="27.5" bestFit="1" customWidth="1"/>
    <col min="5" max="7" width="19" customWidth="1"/>
    <col min="9" max="9" width="13.796875" bestFit="1" customWidth="1"/>
    <col min="11" max="11" width="24.59765625" bestFit="1" customWidth="1"/>
  </cols>
  <sheetData>
    <row r="1" spans="3:11" x14ac:dyDescent="0.3">
      <c r="E1" t="s">
        <v>26</v>
      </c>
      <c r="F1" t="s">
        <v>27</v>
      </c>
      <c r="G1" t="s">
        <v>28</v>
      </c>
    </row>
    <row r="3" spans="3:11" x14ac:dyDescent="0.3">
      <c r="D3" t="s">
        <v>17</v>
      </c>
      <c r="E3" s="5">
        <f>E9+E11</f>
        <v>145130000</v>
      </c>
      <c r="F3" s="4">
        <f>F9+F11</f>
        <v>174340000</v>
      </c>
      <c r="G3">
        <f>G9+G11</f>
        <v>0</v>
      </c>
    </row>
    <row r="4" spans="3:11" x14ac:dyDescent="0.3">
      <c r="D4" t="s">
        <v>24</v>
      </c>
      <c r="E4">
        <f>F12-E12</f>
        <v>9100000</v>
      </c>
      <c r="F4" s="6"/>
    </row>
    <row r="5" spans="3:11" x14ac:dyDescent="0.3">
      <c r="D5" t="s">
        <v>60</v>
      </c>
      <c r="E5">
        <f>(F24-E24)+(F29-E29)</f>
        <v>14200000</v>
      </c>
      <c r="J5" t="s">
        <v>17</v>
      </c>
      <c r="K5" t="s">
        <v>51</v>
      </c>
    </row>
    <row r="6" spans="3:11" x14ac:dyDescent="0.3">
      <c r="D6" s="11" t="s">
        <v>25</v>
      </c>
      <c r="E6" s="11">
        <f>F36-E36</f>
        <v>7000000</v>
      </c>
      <c r="F6" s="12"/>
    </row>
    <row r="8" spans="3:11" x14ac:dyDescent="0.3">
      <c r="D8" t="s">
        <v>29</v>
      </c>
    </row>
    <row r="9" spans="3:11" x14ac:dyDescent="0.3">
      <c r="D9" t="s">
        <v>23</v>
      </c>
      <c r="E9">
        <v>4850000</v>
      </c>
      <c r="F9">
        <v>4850000</v>
      </c>
      <c r="I9" s="9"/>
    </row>
    <row r="11" spans="3:11" x14ac:dyDescent="0.3">
      <c r="D11" t="s">
        <v>30</v>
      </c>
      <c r="E11" s="6">
        <f>E12+E18+E24+E29+E36</f>
        <v>140280000</v>
      </c>
      <c r="F11" s="6">
        <f>F12+F18+F24+F29+F36</f>
        <v>169490000</v>
      </c>
    </row>
    <row r="12" spans="3:11" x14ac:dyDescent="0.3">
      <c r="C12">
        <v>1</v>
      </c>
      <c r="D12" t="s">
        <v>31</v>
      </c>
      <c r="E12">
        <f>E13*E14*E15*E16</f>
        <v>120900000</v>
      </c>
      <c r="F12">
        <f>F13*F14*F15*F16</f>
        <v>130000000</v>
      </c>
    </row>
    <row r="13" spans="3:11" x14ac:dyDescent="0.3">
      <c r="C13">
        <v>1.1000000000000001</v>
      </c>
      <c r="D13" t="s">
        <v>34</v>
      </c>
      <c r="E13">
        <v>93</v>
      </c>
      <c r="F13">
        <v>93</v>
      </c>
    </row>
    <row r="14" spans="3:11" x14ac:dyDescent="0.3">
      <c r="C14">
        <v>1.2</v>
      </c>
      <c r="D14" t="s">
        <v>35</v>
      </c>
      <c r="E14">
        <v>65</v>
      </c>
      <c r="F14" s="7">
        <f>E14/0.93</f>
        <v>69.892473118279568</v>
      </c>
    </row>
    <row r="15" spans="3:11" x14ac:dyDescent="0.3">
      <c r="C15">
        <v>1.3</v>
      </c>
      <c r="D15" t="s">
        <v>33</v>
      </c>
      <c r="E15">
        <v>2000</v>
      </c>
      <c r="F15">
        <v>2000</v>
      </c>
    </row>
    <row r="16" spans="3:11" x14ac:dyDescent="0.3">
      <c r="C16">
        <v>1.4</v>
      </c>
      <c r="D16" t="s">
        <v>32</v>
      </c>
      <c r="E16">
        <v>10</v>
      </c>
      <c r="F16">
        <v>10</v>
      </c>
      <c r="G16" s="7"/>
    </row>
    <row r="18" spans="3:6" x14ac:dyDescent="0.3">
      <c r="C18">
        <v>2</v>
      </c>
      <c r="D18" t="s">
        <v>36</v>
      </c>
      <c r="E18" s="6">
        <f>E20*E22</f>
        <v>2180000</v>
      </c>
      <c r="F18" s="6">
        <f>F21*F22</f>
        <v>1090000</v>
      </c>
    </row>
    <row r="19" spans="3:6" x14ac:dyDescent="0.3">
      <c r="C19">
        <v>2.1</v>
      </c>
      <c r="D19" t="s">
        <v>37</v>
      </c>
    </row>
    <row r="20" spans="3:6" x14ac:dyDescent="0.3">
      <c r="C20" s="8" t="s">
        <v>39</v>
      </c>
      <c r="D20" t="s">
        <v>38</v>
      </c>
      <c r="E20" s="5">
        <v>218000</v>
      </c>
    </row>
    <row r="21" spans="3:6" x14ac:dyDescent="0.3">
      <c r="C21" s="8" t="s">
        <v>40</v>
      </c>
      <c r="D21" t="s">
        <v>41</v>
      </c>
      <c r="F21" s="6">
        <f>E20/2</f>
        <v>109000</v>
      </c>
    </row>
    <row r="22" spans="3:6" x14ac:dyDescent="0.3">
      <c r="D22" t="s">
        <v>42</v>
      </c>
      <c r="E22">
        <f>E16</f>
        <v>10</v>
      </c>
      <c r="F22">
        <f>F16</f>
        <v>10</v>
      </c>
    </row>
    <row r="24" spans="3:6" x14ac:dyDescent="0.3">
      <c r="C24">
        <v>3</v>
      </c>
      <c r="D24" t="s">
        <v>43</v>
      </c>
      <c r="E24">
        <f>E25+E26</f>
        <v>1200000</v>
      </c>
      <c r="F24">
        <f>F25+F26</f>
        <v>2400000</v>
      </c>
    </row>
    <row r="25" spans="3:6" x14ac:dyDescent="0.3">
      <c r="C25" s="8" t="s">
        <v>44</v>
      </c>
      <c r="D25" t="s">
        <v>47</v>
      </c>
      <c r="E25">
        <v>700000</v>
      </c>
      <c r="F25">
        <f>E25*2</f>
        <v>1400000</v>
      </c>
    </row>
    <row r="26" spans="3:6" x14ac:dyDescent="0.3">
      <c r="C26" s="8" t="s">
        <v>45</v>
      </c>
      <c r="D26" t="s">
        <v>46</v>
      </c>
      <c r="E26">
        <v>500000</v>
      </c>
      <c r="F26">
        <f>E26*2</f>
        <v>1000000</v>
      </c>
    </row>
    <row r="29" spans="3:6" x14ac:dyDescent="0.3">
      <c r="C29" s="11">
        <v>4</v>
      </c>
      <c r="D29" s="11" t="s">
        <v>61</v>
      </c>
      <c r="E29" s="11">
        <f>(E30+E32+E33)*E31*E34</f>
        <v>13000000</v>
      </c>
      <c r="F29" s="11">
        <f>(F30+F32+F33)*F31*F34</f>
        <v>26000000</v>
      </c>
    </row>
    <row r="30" spans="3:6" x14ac:dyDescent="0.3">
      <c r="C30" s="8" t="s">
        <v>48</v>
      </c>
      <c r="D30" t="s">
        <v>49</v>
      </c>
      <c r="E30">
        <v>5000</v>
      </c>
      <c r="F30">
        <v>5000</v>
      </c>
    </row>
    <row r="31" spans="3:6" x14ac:dyDescent="0.3">
      <c r="C31" s="8" t="s">
        <v>52</v>
      </c>
      <c r="D31" t="s">
        <v>50</v>
      </c>
      <c r="E31">
        <v>200</v>
      </c>
      <c r="F31">
        <v>400</v>
      </c>
    </row>
    <row r="32" spans="3:6" x14ac:dyDescent="0.3">
      <c r="C32" s="10" t="s">
        <v>53</v>
      </c>
      <c r="D32" s="11" t="s">
        <v>55</v>
      </c>
      <c r="E32" s="11">
        <v>1000</v>
      </c>
      <c r="F32" s="11">
        <v>1000</v>
      </c>
    </row>
    <row r="33" spans="3:6" x14ac:dyDescent="0.3">
      <c r="C33" s="10" t="s">
        <v>54</v>
      </c>
      <c r="D33" s="11" t="s">
        <v>56</v>
      </c>
      <c r="E33" s="11">
        <v>500</v>
      </c>
      <c r="F33" s="11">
        <v>500</v>
      </c>
    </row>
    <row r="34" spans="3:6" x14ac:dyDescent="0.3">
      <c r="D34" t="s">
        <v>42</v>
      </c>
      <c r="E34">
        <v>10</v>
      </c>
      <c r="F34">
        <v>10</v>
      </c>
    </row>
    <row r="36" spans="3:6" x14ac:dyDescent="0.3">
      <c r="C36" s="11">
        <v>5</v>
      </c>
      <c r="D36" s="11" t="s">
        <v>57</v>
      </c>
      <c r="E36" s="11">
        <f>E37*E38*E39</f>
        <v>3000000</v>
      </c>
      <c r="F36" s="11">
        <f>F37*F38*F39</f>
        <v>10000000</v>
      </c>
    </row>
    <row r="37" spans="3:6" x14ac:dyDescent="0.3">
      <c r="C37" s="11">
        <v>5.0999999999999996</v>
      </c>
      <c r="D37" s="11" t="s">
        <v>58</v>
      </c>
      <c r="E37" s="11">
        <v>300000</v>
      </c>
      <c r="F37" s="11">
        <v>500000</v>
      </c>
    </row>
    <row r="38" spans="3:6" x14ac:dyDescent="0.3">
      <c r="C38" s="11">
        <v>5.2</v>
      </c>
      <c r="D38" s="11" t="s">
        <v>59</v>
      </c>
      <c r="E38" s="11">
        <v>1</v>
      </c>
      <c r="F38" s="11">
        <v>2</v>
      </c>
    </row>
    <row r="39" spans="3:6" x14ac:dyDescent="0.3">
      <c r="D39" t="s">
        <v>42</v>
      </c>
      <c r="E39">
        <v>10</v>
      </c>
      <c r="F39">
        <v>10</v>
      </c>
    </row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102BB-2AEA-401D-92DF-3ACD5FA21B80}">
  <dimension ref="A1:F16"/>
  <sheetViews>
    <sheetView workbookViewId="0">
      <selection activeCell="A11" sqref="A11"/>
    </sheetView>
  </sheetViews>
  <sheetFormatPr defaultRowHeight="14.4" x14ac:dyDescent="0.3"/>
  <cols>
    <col min="1" max="1" width="39.69921875" bestFit="1" customWidth="1"/>
    <col min="2" max="2" width="25.3984375" bestFit="1" customWidth="1"/>
    <col min="6" max="6" width="51.296875" bestFit="1" customWidth="1"/>
  </cols>
  <sheetData>
    <row r="1" spans="1:6" ht="15.55" x14ac:dyDescent="0.3">
      <c r="A1" s="1" t="s">
        <v>0</v>
      </c>
      <c r="B1" s="1" t="s">
        <v>1</v>
      </c>
    </row>
    <row r="2" spans="1:6" ht="15.55" x14ac:dyDescent="0.3">
      <c r="A2" s="2" t="s">
        <v>5</v>
      </c>
      <c r="B2" s="2" t="s">
        <v>12</v>
      </c>
    </row>
    <row r="3" spans="1:6" ht="15.55" x14ac:dyDescent="0.3">
      <c r="A3" s="2" t="s">
        <v>16</v>
      </c>
      <c r="B3" s="2" t="s">
        <v>13</v>
      </c>
    </row>
    <row r="4" spans="1:6" ht="15.55" x14ac:dyDescent="0.3">
      <c r="A4" s="2" t="s">
        <v>2</v>
      </c>
      <c r="B4" s="2" t="s">
        <v>12</v>
      </c>
    </row>
    <row r="5" spans="1:6" ht="15.55" x14ac:dyDescent="0.3">
      <c r="A5" s="2" t="s">
        <v>3</v>
      </c>
      <c r="B5" s="2" t="s">
        <v>14</v>
      </c>
      <c r="E5" t="s">
        <v>17</v>
      </c>
      <c r="F5" t="s">
        <v>18</v>
      </c>
    </row>
    <row r="6" spans="1:6" ht="15.55" x14ac:dyDescent="0.3">
      <c r="A6" s="2" t="s">
        <v>6</v>
      </c>
      <c r="B6" s="2" t="s">
        <v>15</v>
      </c>
    </row>
    <row r="7" spans="1:6" ht="15.55" x14ac:dyDescent="0.3">
      <c r="A7" s="2" t="s">
        <v>7</v>
      </c>
      <c r="B7" s="2" t="s">
        <v>15</v>
      </c>
      <c r="E7" t="s">
        <v>20</v>
      </c>
      <c r="F7" t="s">
        <v>19</v>
      </c>
    </row>
    <row r="8" spans="1:6" ht="15.55" x14ac:dyDescent="0.3">
      <c r="A8" s="2" t="s">
        <v>8</v>
      </c>
      <c r="B8" s="2" t="s">
        <v>15</v>
      </c>
      <c r="E8" t="s">
        <v>21</v>
      </c>
      <c r="F8" t="s">
        <v>22</v>
      </c>
    </row>
    <row r="9" spans="1:6" ht="15.55" x14ac:dyDescent="0.3">
      <c r="A9" s="2" t="s">
        <v>9</v>
      </c>
      <c r="B9" s="2" t="s">
        <v>15</v>
      </c>
    </row>
    <row r="10" spans="1:6" ht="15.55" x14ac:dyDescent="0.3">
      <c r="A10" s="2" t="s">
        <v>10</v>
      </c>
      <c r="B10" s="2" t="s">
        <v>15</v>
      </c>
    </row>
    <row r="11" spans="1:6" ht="15.55" x14ac:dyDescent="0.3">
      <c r="A11" s="2" t="s">
        <v>11</v>
      </c>
      <c r="B11" s="2" t="s">
        <v>15</v>
      </c>
    </row>
    <row r="12" spans="1:6" ht="15.55" x14ac:dyDescent="0.3">
      <c r="A12" s="2" t="s">
        <v>4</v>
      </c>
      <c r="B12" s="2" t="s">
        <v>15</v>
      </c>
    </row>
    <row r="15" spans="1:6" ht="15.55" x14ac:dyDescent="0.3">
      <c r="A15" s="3"/>
      <c r="B15" s="3"/>
    </row>
    <row r="16" spans="1:6" ht="15.55" x14ac:dyDescent="0.3">
      <c r="B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TCO Calculation Inputs</vt:lpstr>
      <vt:lpstr>Sheet1</vt:lpstr>
    </vt:vector>
  </TitlesOfParts>
  <Company>Atlas Copco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Vishvak Sundar</dc:creator>
  <cp:lastModifiedBy>Prajyot Tamgadge</cp:lastModifiedBy>
  <dcterms:created xsi:type="dcterms:W3CDTF">2026-03-30T08:51:25Z</dcterms:created>
  <dcterms:modified xsi:type="dcterms:W3CDTF">2026-04-07T06:20:31Z</dcterms:modified>
</cp:coreProperties>
</file>