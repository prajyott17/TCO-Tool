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virtualoffice-my.sharepoint.com/personal/prajyot_tamgadge_external_cp_com/Documents/Desktop/TCO/Rental/"/>
    </mc:Choice>
  </mc:AlternateContent>
  <xr:revisionPtr revIDLastSave="82" documentId="8_{23BA4C01-8D30-43FA-B8C1-A0D8AC465E19}" xr6:coauthVersionLast="47" xr6:coauthVersionMax="47" xr10:uidLastSave="{2716AECD-AE1B-4BC8-ABBC-D22CEE34AD46}"/>
  <bookViews>
    <workbookView xWindow="-104" yWindow="-104" windowWidth="22326" windowHeight="11947" tabRatio="602" xr2:uid="{40DDBAA2-7370-4D3B-9079-B62F59BABD6D}"/>
  </bookViews>
  <sheets>
    <sheet name="Sheet1" sheetId="1" r:id="rId1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V7" i="1"/>
  <c r="V6" i="1"/>
  <c r="W6" i="1"/>
  <c r="U6" i="1"/>
  <c r="Q3" i="1"/>
  <c r="O3" i="1"/>
  <c r="K3" i="1"/>
  <c r="V3" i="1"/>
  <c r="W3" i="1" s="1"/>
  <c r="V4" i="1"/>
  <c r="W4" i="1" s="1"/>
  <c r="V5" i="1"/>
  <c r="W5" i="1" s="1"/>
  <c r="H3" i="1"/>
  <c r="U9" i="1"/>
  <c r="V9" i="1" s="1"/>
  <c r="W9" i="1" s="1"/>
  <c r="H9" i="1"/>
  <c r="O9" i="1" s="1"/>
  <c r="E9" i="1"/>
  <c r="F9" i="1" s="1"/>
  <c r="U8" i="1"/>
  <c r="V8" i="1" s="1"/>
  <c r="W8" i="1" s="1"/>
  <c r="H8" i="1"/>
  <c r="O8" i="1" s="1"/>
  <c r="E8" i="1"/>
  <c r="F8" i="1" s="1"/>
  <c r="W7" i="1"/>
  <c r="H7" i="1"/>
  <c r="O7" i="1" s="1"/>
  <c r="E7" i="1"/>
  <c r="F7" i="1" s="1"/>
  <c r="H6" i="1"/>
  <c r="O6" i="1" s="1"/>
  <c r="E6" i="1"/>
  <c r="F6" i="1" s="1"/>
  <c r="H5" i="1"/>
  <c r="O5" i="1" s="1"/>
  <c r="E5" i="1"/>
  <c r="F5" i="1" s="1"/>
  <c r="H4" i="1"/>
  <c r="O4" i="1" s="1"/>
  <c r="E4" i="1"/>
  <c r="F4" i="1" s="1"/>
  <c r="E3" i="1"/>
  <c r="F3" i="1" s="1"/>
  <c r="L3" i="1" l="1"/>
  <c r="K8" i="1"/>
  <c r="L8" i="1" s="1"/>
  <c r="K7" i="1"/>
  <c r="L7" i="1" s="1"/>
  <c r="K6" i="1"/>
  <c r="L6" i="1" s="1"/>
  <c r="Q7" i="1"/>
  <c r="R7" i="1" s="1"/>
  <c r="P4" i="1"/>
  <c r="P5" i="1"/>
  <c r="P9" i="1"/>
  <c r="K9" i="1"/>
  <c r="L9" i="1" s="1"/>
  <c r="P8" i="1"/>
  <c r="P3" i="1"/>
  <c r="K5" i="1"/>
  <c r="L5" i="1" s="1"/>
  <c r="P6" i="1"/>
  <c r="P7" i="1"/>
  <c r="K4" i="1"/>
  <c r="L4" i="1" s="1"/>
  <c r="R3" i="1" l="1"/>
  <c r="Q8" i="1"/>
  <c r="R8" i="1" s="1"/>
  <c r="Q6" i="1"/>
  <c r="R6" i="1" s="1"/>
  <c r="Q5" i="1"/>
  <c r="R5" i="1" s="1"/>
  <c r="Q9" i="1"/>
  <c r="R9" i="1" s="1"/>
  <c r="Q4" i="1"/>
  <c r="R4" i="1" s="1"/>
</calcChain>
</file>

<file path=xl/sharedStrings.xml><?xml version="1.0" encoding="utf-8"?>
<sst xmlns="http://schemas.openxmlformats.org/spreadsheetml/2006/main" count="33" uniqueCount="24">
  <si>
    <t>Part Number</t>
  </si>
  <si>
    <t>Discription</t>
  </si>
  <si>
    <t>New Machine Price</t>
  </si>
  <si>
    <t>Rental Price</t>
  </si>
  <si>
    <t>Earning through Rental / year</t>
  </si>
  <si>
    <t>Lubricant/Change</t>
  </si>
  <si>
    <t>750 Hrs. Kit</t>
  </si>
  <si>
    <t>750 Hrs PM Cost</t>
  </si>
  <si>
    <t>% of New Machine</t>
  </si>
  <si>
    <t>1500 Hrs Kit</t>
  </si>
  <si>
    <t>1500 Hrs PM Cost</t>
  </si>
  <si>
    <t>Fuel Cost</t>
  </si>
  <si>
    <t>Fuel Cost / Hour</t>
  </si>
  <si>
    <t>1500 Hours</t>
  </si>
  <si>
    <t>Fuel Saving 7% on Genuine usage</t>
  </si>
  <si>
    <t>Customer Price</t>
  </si>
  <si>
    <t>CPS400E-100</t>
  </si>
  <si>
    <t>CPS300E-100</t>
  </si>
  <si>
    <t>CPS400E-150</t>
  </si>
  <si>
    <t>CPS400-100</t>
  </si>
  <si>
    <t>CPS300-100</t>
  </si>
  <si>
    <t>CPS550-200</t>
  </si>
  <si>
    <t>CPS575-225</t>
  </si>
  <si>
    <t>Fuel Consumption / Hour(Ltr)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</si>
</sst>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vertical="center"/>
    </xf>
    <xf numFmtId="164" fontId="2" fillId="2" borderId="1" xfId="1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9" fontId="0" fillId="0" borderId="1" xfId="2" applyFont="1" applyBorder="1"/>
    <xf numFmtId="164" fontId="0" fillId="0" borderId="1" xfId="0" applyNumberFormat="1" applyBorder="1"/>
    <xf numFmtId="0" fontId="0" fillId="0" borderId="0" xfId="0" applyAlignment="1">
      <alignment horizontal="center"/>
    </xf>
    <xf numFmtId="164" fontId="0" fillId="0" borderId="0" xfId="1" applyNumberFormat="1" applyFont="1"/>
    <xf numFmtId="0" fontId="2" fillId="2" borderId="1" xfId="0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wrapText="1"/>
    </xf>
    <xf numFmtId="164" fontId="2" fillId="2" borderId="3" xfId="1" applyNumberFormat="1" applyFont="1" applyFill="1" applyBorder="1" applyAlignment="1">
      <alignment horizontal="center" wrapText="1"/>
    </xf>
    <xf numFmtId="164" fontId="2" fillId="2" borderId="1" xfId="1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32DE-34E4-4D8F-8C85-851F3420051B}">
  <dimension ref="A1:W9"/>
  <sheetViews>
    <sheetView showGridLines="0" tabSelected="1" zoomScale="89" zoomScaleNormal="89" workbookViewId="0">
      <selection activeCell="E1" sqref="E1:E1048576"/>
    </sheetView>
  </sheetViews>
  <sheetFormatPr defaultRowHeight="14.4" x14ac:dyDescent="0.3"/>
  <cols>
    <col min="1" max="1" width="14.09765625" style="11" customWidth="1"/>
    <col min="2" max="2" width="12.8984375" customWidth="1"/>
    <col min="3" max="3" width="12.5" customWidth="1"/>
    <col min="4" max="4" width="11.296875" customWidth="1"/>
    <col min="5" max="5" width="10.5" customWidth="1"/>
    <col min="6" max="6" width="14" customWidth="1"/>
    <col min="7" max="7" width="13.5" customWidth="1"/>
    <col min="8" max="8" width="9.3984375" style="12" bestFit="1" customWidth="1"/>
    <col min="9" max="9" width="15" customWidth="1"/>
    <col min="10" max="10" width="10.19921875" customWidth="1"/>
    <col min="11" max="11" width="14.5" style="12" bestFit="1" customWidth="1"/>
    <col min="12" max="12" width="10.69921875" style="12" customWidth="1"/>
    <col min="13" max="13" width="15" customWidth="1"/>
    <col min="14" max="14" width="9.3984375" customWidth="1"/>
    <col min="15" max="15" width="11.796875" style="12" customWidth="1"/>
    <col min="16" max="16" width="12.796875" customWidth="1"/>
    <col min="17" max="17" width="13.09765625" style="12" customWidth="1"/>
    <col min="18" max="18" width="14.59765625" customWidth="1"/>
    <col min="19" max="19" width="11.59765625" customWidth="1"/>
    <col min="20" max="20" width="7.296875" customWidth="1"/>
    <col min="21" max="21" width="10.796875" customWidth="1"/>
    <col min="22" max="22" width="10.59765625" customWidth="1"/>
    <col min="23" max="23" width="12.69921875" customWidth="1"/>
  </cols>
  <sheetData>
    <row r="1" spans="1:23" x14ac:dyDescent="0.3">
      <c r="A1" s="13" t="s">
        <v>0</v>
      </c>
      <c r="B1" s="19" t="s">
        <v>1</v>
      </c>
      <c r="C1" s="20" t="s">
        <v>2</v>
      </c>
      <c r="D1" s="21" t="s">
        <v>3</v>
      </c>
      <c r="E1" s="21" t="s">
        <v>3</v>
      </c>
      <c r="F1" s="23" t="s">
        <v>4</v>
      </c>
      <c r="G1" s="25" t="s">
        <v>5</v>
      </c>
      <c r="H1" s="25"/>
      <c r="I1" s="25" t="s">
        <v>6</v>
      </c>
      <c r="J1" s="25"/>
      <c r="K1" s="17" t="s">
        <v>7</v>
      </c>
      <c r="L1" s="15" t="s">
        <v>8</v>
      </c>
      <c r="M1" s="25" t="s">
        <v>9</v>
      </c>
      <c r="N1" s="25"/>
      <c r="O1" s="17" t="s">
        <v>10</v>
      </c>
      <c r="P1" s="15" t="s">
        <v>8</v>
      </c>
      <c r="Q1" s="17" t="s">
        <v>10</v>
      </c>
      <c r="R1" s="15" t="s">
        <v>8</v>
      </c>
      <c r="S1" s="18" t="s">
        <v>23</v>
      </c>
      <c r="T1" s="18" t="s">
        <v>11</v>
      </c>
      <c r="U1" s="18" t="s">
        <v>12</v>
      </c>
      <c r="V1" s="13" t="s">
        <v>13</v>
      </c>
      <c r="W1" s="14" t="s">
        <v>14</v>
      </c>
    </row>
    <row r="2" spans="1:23" ht="28.8" x14ac:dyDescent="0.3">
      <c r="A2" s="13"/>
      <c r="B2" s="19"/>
      <c r="C2" s="20"/>
      <c r="D2" s="22"/>
      <c r="E2" s="22"/>
      <c r="F2" s="24"/>
      <c r="G2" s="1" t="s">
        <v>0</v>
      </c>
      <c r="H2" s="2" t="s">
        <v>15</v>
      </c>
      <c r="I2" s="1" t="s">
        <v>0</v>
      </c>
      <c r="J2" s="3" t="s">
        <v>15</v>
      </c>
      <c r="K2" s="17"/>
      <c r="L2" s="16"/>
      <c r="M2" s="4" t="s">
        <v>0</v>
      </c>
      <c r="N2" s="5" t="s">
        <v>15</v>
      </c>
      <c r="O2" s="17"/>
      <c r="P2" s="16"/>
      <c r="Q2" s="17"/>
      <c r="R2" s="16"/>
      <c r="S2" s="18"/>
      <c r="T2" s="18"/>
      <c r="U2" s="18"/>
      <c r="V2" s="13"/>
      <c r="W2" s="14"/>
    </row>
    <row r="3" spans="1:23" x14ac:dyDescent="0.3">
      <c r="A3" s="6">
        <v>8975050069</v>
      </c>
      <c r="B3" s="7" t="s">
        <v>16</v>
      </c>
      <c r="C3" s="8">
        <v>1181000</v>
      </c>
      <c r="D3" s="8">
        <v>55000</v>
      </c>
      <c r="E3" s="8">
        <f>D3*12</f>
        <v>660000</v>
      </c>
      <c r="F3" s="9">
        <f>E3/C3</f>
        <v>0.55884843353090596</v>
      </c>
      <c r="G3" s="7">
        <v>9095951220</v>
      </c>
      <c r="H3" s="8">
        <f>(11334/20)*18</f>
        <v>10200.6</v>
      </c>
      <c r="I3" s="7">
        <v>9095052229</v>
      </c>
      <c r="J3" s="8">
        <v>23822.959999999999</v>
      </c>
      <c r="K3" s="8">
        <f>J3+H3</f>
        <v>34023.56</v>
      </c>
      <c r="L3" s="9">
        <f>K3/C3</f>
        <v>2.8809110922946652E-2</v>
      </c>
      <c r="M3" s="7">
        <v>9095052230</v>
      </c>
      <c r="N3" s="8">
        <v>52917</v>
      </c>
      <c r="O3" s="8">
        <f>N3+H3</f>
        <v>63117.599999999999</v>
      </c>
      <c r="P3" s="9">
        <f>O3/C3</f>
        <v>5.3444199830651989E-2</v>
      </c>
      <c r="Q3" s="8">
        <f>(O3+K3)/2</f>
        <v>48570.58</v>
      </c>
      <c r="R3" s="9">
        <f>Q3/C3</f>
        <v>4.1126655376799326E-2</v>
      </c>
      <c r="S3" s="8"/>
      <c r="T3" s="8"/>
      <c r="U3" s="8"/>
      <c r="V3" s="8">
        <f t="shared" ref="V3:V5" si="0">U3*1500</f>
        <v>0</v>
      </c>
      <c r="W3" s="10">
        <f t="shared" ref="W3:W5" si="1">V3*7%</f>
        <v>0</v>
      </c>
    </row>
    <row r="4" spans="1:23" x14ac:dyDescent="0.3">
      <c r="A4" s="6">
        <v>8973178063</v>
      </c>
      <c r="B4" s="7" t="s">
        <v>17</v>
      </c>
      <c r="C4" s="8">
        <v>1044000</v>
      </c>
      <c r="D4" s="8">
        <v>38000</v>
      </c>
      <c r="E4" s="8">
        <f t="shared" ref="E4:E8" si="2">D4*12</f>
        <v>456000</v>
      </c>
      <c r="F4" s="9">
        <f t="shared" ref="F4:F9" si="3">E4/C4</f>
        <v>0.43678160919540232</v>
      </c>
      <c r="G4" s="7">
        <v>9095951220</v>
      </c>
      <c r="H4" s="8">
        <f>(11334/20)*18</f>
        <v>10200.6</v>
      </c>
      <c r="I4" s="7">
        <v>9096940504</v>
      </c>
      <c r="J4" s="8">
        <v>24624</v>
      </c>
      <c r="K4" s="8">
        <f t="shared" ref="K4:K9" si="4">J4+H4</f>
        <v>34824.6</v>
      </c>
      <c r="L4" s="9">
        <f t="shared" ref="L4:L9" si="5">K4/C4</f>
        <v>3.3356896551724136E-2</v>
      </c>
      <c r="M4" s="7">
        <v>9096940505</v>
      </c>
      <c r="N4" s="8">
        <v>42179</v>
      </c>
      <c r="O4" s="8">
        <f t="shared" ref="O4:O9" si="6">N4+H4</f>
        <v>52379.6</v>
      </c>
      <c r="P4" s="9">
        <f t="shared" ref="P4:P9" si="7">O4/C4</f>
        <v>5.0172030651340994E-2</v>
      </c>
      <c r="Q4" s="8">
        <f t="shared" ref="Q4:Q9" si="8">(O4+K4)/2</f>
        <v>43602.1</v>
      </c>
      <c r="R4" s="9">
        <f t="shared" ref="R4:R9" si="9">Q4/C4</f>
        <v>4.1764463601532568E-2</v>
      </c>
      <c r="S4" s="8"/>
      <c r="T4" s="8"/>
      <c r="U4" s="8"/>
      <c r="V4" s="8">
        <f t="shared" si="0"/>
        <v>0</v>
      </c>
      <c r="W4" s="10">
        <f t="shared" si="1"/>
        <v>0</v>
      </c>
    </row>
    <row r="5" spans="1:23" x14ac:dyDescent="0.3">
      <c r="A5" s="6">
        <v>8975050043</v>
      </c>
      <c r="B5" s="7" t="s">
        <v>18</v>
      </c>
      <c r="C5" s="8">
        <v>1256000</v>
      </c>
      <c r="D5" s="8">
        <v>80000</v>
      </c>
      <c r="E5" s="8">
        <f t="shared" si="2"/>
        <v>960000</v>
      </c>
      <c r="F5" s="9">
        <f t="shared" si="3"/>
        <v>0.76433121019108285</v>
      </c>
      <c r="G5" s="7">
        <v>9095951220</v>
      </c>
      <c r="H5" s="8">
        <f>(11334/20)*18</f>
        <v>10200.6</v>
      </c>
      <c r="I5" s="7">
        <v>9095052229</v>
      </c>
      <c r="J5" s="8">
        <v>23822.959999999999</v>
      </c>
      <c r="K5" s="8">
        <f t="shared" si="4"/>
        <v>34023.56</v>
      </c>
      <c r="L5" s="9">
        <f t="shared" si="5"/>
        <v>2.7088821656050952E-2</v>
      </c>
      <c r="M5" s="7">
        <v>9095052230</v>
      </c>
      <c r="N5" s="8">
        <v>52917</v>
      </c>
      <c r="O5" s="8">
        <f t="shared" si="6"/>
        <v>63117.599999999999</v>
      </c>
      <c r="P5" s="9">
        <f t="shared" si="7"/>
        <v>5.0252866242038216E-2</v>
      </c>
      <c r="Q5" s="8">
        <f t="shared" si="8"/>
        <v>48570.58</v>
      </c>
      <c r="R5" s="9">
        <f t="shared" si="9"/>
        <v>3.8670843949044589E-2</v>
      </c>
      <c r="S5" s="8"/>
      <c r="T5" s="8"/>
      <c r="U5" s="8"/>
      <c r="V5" s="8">
        <f t="shared" si="0"/>
        <v>0</v>
      </c>
      <c r="W5" s="10">
        <f t="shared" si="1"/>
        <v>0</v>
      </c>
    </row>
    <row r="6" spans="1:23" x14ac:dyDescent="0.3">
      <c r="A6" s="6">
        <v>8975050137</v>
      </c>
      <c r="B6" s="7" t="s">
        <v>19</v>
      </c>
      <c r="C6" s="8">
        <v>1180000</v>
      </c>
      <c r="D6" s="8">
        <v>40000</v>
      </c>
      <c r="E6" s="8">
        <f t="shared" si="2"/>
        <v>480000</v>
      </c>
      <c r="F6" s="9">
        <f t="shared" si="3"/>
        <v>0.40677966101694918</v>
      </c>
      <c r="G6" s="7">
        <v>9095951220</v>
      </c>
      <c r="H6" s="8">
        <f t="shared" ref="H6:H7" si="10">(11334/20)*18</f>
        <v>10200.6</v>
      </c>
      <c r="I6" s="7">
        <v>4153137116</v>
      </c>
      <c r="J6" s="8">
        <v>26573</v>
      </c>
      <c r="K6" s="8">
        <f t="shared" si="4"/>
        <v>36773.599999999999</v>
      </c>
      <c r="L6" s="9">
        <f t="shared" si="5"/>
        <v>3.1164067796610167E-2</v>
      </c>
      <c r="M6" s="7">
        <v>4153137117</v>
      </c>
      <c r="N6" s="8">
        <v>54599</v>
      </c>
      <c r="O6" s="8">
        <f t="shared" si="6"/>
        <v>64799.6</v>
      </c>
      <c r="P6" s="9">
        <f t="shared" si="7"/>
        <v>5.4914915254237286E-2</v>
      </c>
      <c r="Q6" s="8">
        <f t="shared" si="8"/>
        <v>50786.6</v>
      </c>
      <c r="R6" s="9">
        <f t="shared" si="9"/>
        <v>4.3039491525423725E-2</v>
      </c>
      <c r="S6" s="8">
        <v>14</v>
      </c>
      <c r="T6" s="8">
        <v>91</v>
      </c>
      <c r="U6" s="8">
        <f>T6*S6</f>
        <v>1274</v>
      </c>
      <c r="V6" s="8">
        <f>U6*1500</f>
        <v>1911000</v>
      </c>
      <c r="W6" s="10">
        <f>V6*7%</f>
        <v>133770</v>
      </c>
    </row>
    <row r="7" spans="1:23" x14ac:dyDescent="0.3">
      <c r="A7" s="6">
        <v>8975050136</v>
      </c>
      <c r="B7" s="7" t="s">
        <v>20</v>
      </c>
      <c r="C7" s="8">
        <v>1075000</v>
      </c>
      <c r="D7" s="8">
        <v>35000</v>
      </c>
      <c r="E7" s="8">
        <f t="shared" si="2"/>
        <v>420000</v>
      </c>
      <c r="F7" s="9">
        <f t="shared" si="3"/>
        <v>0.39069767441860465</v>
      </c>
      <c r="G7" s="7">
        <v>9095951220</v>
      </c>
      <c r="H7" s="8">
        <f t="shared" si="10"/>
        <v>10200.6</v>
      </c>
      <c r="I7" s="7">
        <v>4153137116</v>
      </c>
      <c r="J7" s="8">
        <v>26573</v>
      </c>
      <c r="K7" s="8">
        <f t="shared" si="4"/>
        <v>36773.599999999999</v>
      </c>
      <c r="L7" s="9">
        <f t="shared" si="5"/>
        <v>3.4207999999999995E-2</v>
      </c>
      <c r="M7" s="7">
        <v>4153137117</v>
      </c>
      <c r="N7" s="8">
        <v>54599</v>
      </c>
      <c r="O7" s="8">
        <f t="shared" si="6"/>
        <v>64799.6</v>
      </c>
      <c r="P7" s="9">
        <f t="shared" si="7"/>
        <v>6.0278697674418603E-2</v>
      </c>
      <c r="Q7" s="8">
        <f t="shared" si="8"/>
        <v>50786.6</v>
      </c>
      <c r="R7" s="9">
        <f t="shared" si="9"/>
        <v>4.7243348837209299E-2</v>
      </c>
      <c r="S7" s="8">
        <v>12</v>
      </c>
      <c r="T7" s="8">
        <v>91</v>
      </c>
      <c r="U7" s="8">
        <f>T7*S7</f>
        <v>1092</v>
      </c>
      <c r="V7" s="8">
        <f>U7*1500</f>
        <v>1638000</v>
      </c>
      <c r="W7" s="10">
        <f t="shared" ref="W7:W9" si="11">V7*7%</f>
        <v>114660.00000000001</v>
      </c>
    </row>
    <row r="8" spans="1:23" x14ac:dyDescent="0.3">
      <c r="A8" s="6">
        <v>8975050206</v>
      </c>
      <c r="B8" s="7" t="s">
        <v>21</v>
      </c>
      <c r="C8" s="8">
        <v>2288000</v>
      </c>
      <c r="D8" s="8">
        <v>105000</v>
      </c>
      <c r="E8" s="8">
        <f t="shared" si="2"/>
        <v>1260000</v>
      </c>
      <c r="F8" s="9">
        <f t="shared" si="3"/>
        <v>0.55069930069930073</v>
      </c>
      <c r="G8" s="7">
        <v>9095951220</v>
      </c>
      <c r="H8" s="8">
        <f>(11334/20)*28</f>
        <v>15867.600000000002</v>
      </c>
      <c r="I8" s="7">
        <v>4153137141</v>
      </c>
      <c r="J8" s="8">
        <v>34304</v>
      </c>
      <c r="K8" s="8">
        <f t="shared" si="4"/>
        <v>50171.600000000006</v>
      </c>
      <c r="L8" s="9">
        <f t="shared" si="5"/>
        <v>2.1928146853146854E-2</v>
      </c>
      <c r="M8" s="7">
        <v>4153137142</v>
      </c>
      <c r="N8" s="8">
        <v>71252</v>
      </c>
      <c r="O8" s="8">
        <f t="shared" si="6"/>
        <v>87119.6</v>
      </c>
      <c r="P8" s="9">
        <f t="shared" si="7"/>
        <v>3.8076748251748255E-2</v>
      </c>
      <c r="Q8" s="8">
        <f t="shared" si="8"/>
        <v>68645.600000000006</v>
      </c>
      <c r="R8" s="9">
        <f t="shared" si="9"/>
        <v>3.0002447552447555E-2</v>
      </c>
      <c r="S8" s="8">
        <v>24</v>
      </c>
      <c r="T8" s="8">
        <v>91</v>
      </c>
      <c r="U8" s="8">
        <f t="shared" ref="U8:U9" si="12">T8*S8</f>
        <v>2184</v>
      </c>
      <c r="V8" s="8">
        <f t="shared" ref="V8:V9" si="13">U8*1500</f>
        <v>3276000</v>
      </c>
      <c r="W8" s="10">
        <f t="shared" si="11"/>
        <v>229320.00000000003</v>
      </c>
    </row>
    <row r="9" spans="1:23" x14ac:dyDescent="0.3">
      <c r="A9" s="6">
        <v>8975050206</v>
      </c>
      <c r="B9" s="7" t="s">
        <v>22</v>
      </c>
      <c r="C9" s="8">
        <v>2285000</v>
      </c>
      <c r="D9" s="8">
        <v>140000</v>
      </c>
      <c r="E9" s="8">
        <f>D9*12</f>
        <v>1680000</v>
      </c>
      <c r="F9" s="9">
        <f t="shared" si="3"/>
        <v>0.73522975929978118</v>
      </c>
      <c r="G9" s="7">
        <v>9095951220</v>
      </c>
      <c r="H9" s="8">
        <f>(11334/20)*28</f>
        <v>15867.600000000002</v>
      </c>
      <c r="I9" s="7">
        <v>4153137149</v>
      </c>
      <c r="J9" s="8">
        <v>36311</v>
      </c>
      <c r="K9" s="8">
        <f t="shared" si="4"/>
        <v>52178.600000000006</v>
      </c>
      <c r="L9" s="9">
        <f t="shared" si="5"/>
        <v>2.2835273522975933E-2</v>
      </c>
      <c r="M9" s="7">
        <v>4153137150</v>
      </c>
      <c r="N9" s="8">
        <v>88700</v>
      </c>
      <c r="O9" s="8">
        <f t="shared" si="6"/>
        <v>104567.6</v>
      </c>
      <c r="P9" s="9">
        <f t="shared" si="7"/>
        <v>4.5762625820568933E-2</v>
      </c>
      <c r="Q9" s="8">
        <f t="shared" si="8"/>
        <v>78373.100000000006</v>
      </c>
      <c r="R9" s="9">
        <f t="shared" si="9"/>
        <v>3.4298949671772432E-2</v>
      </c>
      <c r="S9" s="8">
        <v>26</v>
      </c>
      <c r="T9" s="8">
        <v>91</v>
      </c>
      <c r="U9" s="8">
        <f t="shared" si="12"/>
        <v>2366</v>
      </c>
      <c r="V9" s="8">
        <f t="shared" si="13"/>
        <v>3549000</v>
      </c>
      <c r="W9" s="10">
        <f t="shared" si="11"/>
        <v>248430.00000000003</v>
      </c>
    </row>
  </sheetData>
  <mergeCells count="20">
    <mergeCell ref="O1:O2"/>
    <mergeCell ref="A1:A2"/>
    <mergeCell ref="B1:B2"/>
    <mergeCell ref="C1:C2"/>
    <mergeCell ref="D1:D2"/>
    <mergeCell ref="E1:E2"/>
    <mergeCell ref="F1:F2"/>
    <mergeCell ref="G1:H1"/>
    <mergeCell ref="I1:J1"/>
    <mergeCell ref="K1:K2"/>
    <mergeCell ref="L1:L2"/>
    <mergeCell ref="M1:N1"/>
    <mergeCell ref="V1:V2"/>
    <mergeCell ref="W1:W2"/>
    <mergeCell ref="P1:P2"/>
    <mergeCell ref="Q1:Q2"/>
    <mergeCell ref="R1:R2"/>
    <mergeCell ref="S1:S2"/>
    <mergeCell ref="T1:T2"/>
    <mergeCell ref="U1:U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8ba78f3-e885-4f72-b1ea-70a5baf6c96c}" enabled="1" method="Privileged" siteId="{556e6b1f-b49d-4278-8baf-db06eeefc8e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Atlas Copco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Kumar</dc:creator>
  <cp:lastModifiedBy>Prajyot Tamgadge</cp:lastModifiedBy>
  <dcterms:created xsi:type="dcterms:W3CDTF">2026-03-20T11:11:48Z</dcterms:created>
  <dcterms:modified xsi:type="dcterms:W3CDTF">2026-05-14T07:48:06Z</dcterms:modified>
</cp:coreProperties>
</file>